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85B" lockStructure="1"/>
  <bookViews>
    <workbookView xWindow="120" yWindow="75" windowWidth="15180" windowHeight="9345"/>
  </bookViews>
  <sheets>
    <sheet name="WO Estimation Infosys" sheetId="2" r:id="rId1"/>
    <sheet name="Tariff and variables" sheetId="3" state="hidden" r:id="rId2"/>
  </sheets>
  <definedNames>
    <definedName name="_xlnm._FilterDatabase" localSheetId="0" hidden="1">'Tariff and variables'!$D$20:$I$40</definedName>
    <definedName name="_xlnm.Print_Area" localSheetId="0">'WO Estimation Infosys'!$A$1:$G$53</definedName>
    <definedName name="SubDomains">'Tariff and variables'!$D$21:$D$40</definedName>
  </definedNames>
  <calcPr calcId="145621"/>
</workbook>
</file>

<file path=xl/calcChain.xml><?xml version="1.0" encoding="utf-8"?>
<calcChain xmlns="http://schemas.openxmlformats.org/spreadsheetml/2006/main">
  <c r="Z11" i="3" l="1"/>
  <c r="Z10" i="3"/>
  <c r="X11" i="3"/>
  <c r="X10" i="3"/>
  <c r="F20" i="2" l="1"/>
  <c r="B17" i="3" l="1"/>
  <c r="D4" i="3"/>
  <c r="F12" i="2"/>
  <c r="F33" i="2"/>
  <c r="F18" i="2"/>
  <c r="F17" i="2"/>
  <c r="F16" i="2"/>
  <c r="F15" i="2"/>
  <c r="F14" i="2"/>
  <c r="F49" i="2"/>
  <c r="B12" i="2"/>
  <c r="E21" i="2"/>
  <c r="F13" i="2"/>
  <c r="D14" i="3" l="1"/>
  <c r="F12" i="3"/>
  <c r="B12" i="3" s="1"/>
  <c r="E11" i="3"/>
  <c r="D10" i="3"/>
  <c r="F8" i="3"/>
  <c r="B8" i="3" s="1"/>
  <c r="E17" i="3"/>
  <c r="B39" i="2" s="1"/>
  <c r="F13" i="3"/>
  <c r="B13" i="3" s="1"/>
  <c r="E12" i="3"/>
  <c r="D11" i="3"/>
  <c r="F9" i="3"/>
  <c r="B9" i="3" s="1"/>
  <c r="E8" i="3"/>
  <c r="F14" i="3"/>
  <c r="B14" i="3" s="1"/>
  <c r="E13" i="3"/>
  <c r="D12" i="3"/>
  <c r="F10" i="3"/>
  <c r="B10" i="3" s="1"/>
  <c r="E9" i="3"/>
  <c r="D8" i="3"/>
  <c r="E14" i="3"/>
  <c r="D13" i="3"/>
  <c r="F11" i="3"/>
  <c r="B11" i="3" s="1"/>
  <c r="E10" i="3"/>
  <c r="D9" i="3"/>
  <c r="F21" i="2"/>
  <c r="F35" i="2" s="1"/>
  <c r="F39" i="2" l="1"/>
  <c r="F40" i="2" s="1"/>
  <c r="F51" i="2" s="1"/>
  <c r="F53" i="2"/>
  <c r="F52" i="2"/>
</calcChain>
</file>

<file path=xl/sharedStrings.xml><?xml version="1.0" encoding="utf-8"?>
<sst xmlns="http://schemas.openxmlformats.org/spreadsheetml/2006/main" count="192" uniqueCount="79">
  <si>
    <t>DBI/ST</t>
  </si>
  <si>
    <t xml:space="preserve"> </t>
  </si>
  <si>
    <t>Cobol</t>
  </si>
  <si>
    <t>Java</t>
  </si>
  <si>
    <t>Peoplesoft</t>
  </si>
  <si>
    <t>Internet Banking</t>
  </si>
  <si>
    <t>Tariff</t>
  </si>
  <si>
    <t>(Hours/fp)</t>
  </si>
  <si>
    <t>Development environment</t>
  </si>
  <si>
    <t>Project phase</t>
  </si>
  <si>
    <t>A: Sub Totals</t>
  </si>
  <si>
    <t>B: Sub Total</t>
  </si>
  <si>
    <t>Specification</t>
  </si>
  <si>
    <t>Hours A + B</t>
  </si>
  <si>
    <t xml:space="preserve">Effort related to Function Points (FP) </t>
  </si>
  <si>
    <t>Effort Post ST</t>
  </si>
  <si>
    <t>Total Effort Workorder</t>
  </si>
  <si>
    <t>Effort DBI/ST</t>
  </si>
  <si>
    <t>…</t>
  </si>
  <si>
    <t>Projectname:</t>
  </si>
  <si>
    <t>Projectcode:</t>
  </si>
  <si>
    <t>D: Sub Total</t>
  </si>
  <si>
    <t>Productivity exception</t>
  </si>
  <si>
    <t xml:space="preserve">Hours A + B + C + D </t>
  </si>
  <si>
    <t>% Productivity Exception:</t>
  </si>
  <si>
    <t xml:space="preserve">% FP: </t>
  </si>
  <si>
    <t>AdvGen Mainframe</t>
  </si>
  <si>
    <t>AdvGen Browser</t>
  </si>
  <si>
    <t>DotNet</t>
  </si>
  <si>
    <t>Testing</t>
  </si>
  <si>
    <t>E-2-E</t>
  </si>
  <si>
    <t xml:space="preserve">Reviewed by : </t>
  </si>
  <si>
    <t>Size
(FP)</t>
  </si>
  <si>
    <t>Effort
(Hours)</t>
  </si>
  <si>
    <t>Effort not related to Function Points (WBS)</t>
  </si>
  <si>
    <t>C: Sub Total</t>
  </si>
  <si>
    <t>Included ?</t>
  </si>
  <si>
    <t>End-2-End</t>
  </si>
  <si>
    <t>Sub-domain:</t>
  </si>
  <si>
    <t>Actual</t>
  </si>
  <si>
    <t>Y</t>
  </si>
  <si>
    <t>User Security</t>
  </si>
  <si>
    <t>Cash &amp; Cards</t>
  </si>
  <si>
    <t>Data Warehouse (ADW)</t>
  </si>
  <si>
    <t>Sales &amp; Services</t>
  </si>
  <si>
    <t>Trade &amp; Guarentees</t>
  </si>
  <si>
    <t>WorkOrder Effort specification INFOSYS</t>
  </si>
  <si>
    <t>PM name:</t>
  </si>
  <si>
    <t>Projectscope:</t>
  </si>
  <si>
    <t>SUBDOMAIN</t>
  </si>
  <si>
    <t>startdate</t>
  </si>
  <si>
    <t>Start</t>
  </si>
  <si>
    <t>1 jaar</t>
  </si>
  <si>
    <t>2 jaar</t>
  </si>
  <si>
    <t>cijfers</t>
  </si>
  <si>
    <t>start</t>
  </si>
  <si>
    <t>cobolkorting Usec</t>
  </si>
  <si>
    <t>Document Services &amp; Archiving</t>
  </si>
  <si>
    <t>XX9999</t>
  </si>
  <si>
    <t>(sub-)projectname</t>
  </si>
  <si>
    <t>PM name</t>
  </si>
  <si>
    <t>&lt;mandatory&gt;</t>
  </si>
  <si>
    <t>3 jaar</t>
  </si>
  <si>
    <t>Accounts, Savings &amp; Customers</t>
  </si>
  <si>
    <t>ALM, Cost Accounting &amp; Controlling</t>
  </si>
  <si>
    <t>Credits</t>
  </si>
  <si>
    <t>Finance</t>
  </si>
  <si>
    <t>FX&amp;R &amp; Cross Markets Services</t>
  </si>
  <si>
    <t>Insurance &amp; Generic Tariffs</t>
  </si>
  <si>
    <t>Mortgages &amp; BI</t>
  </si>
  <si>
    <t>OCRM &amp; Advice</t>
  </si>
  <si>
    <t>Payments</t>
  </si>
  <si>
    <t>PRI&amp;TOPS</t>
  </si>
  <si>
    <t>Risk</t>
  </si>
  <si>
    <t>Securities</t>
  </si>
  <si>
    <t>Securities Financing &amp; Equities</t>
  </si>
  <si>
    <t>Transactions &amp; Content</t>
  </si>
  <si>
    <t>4 jaar</t>
  </si>
  <si>
    <t>oct-15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</si>
</sst>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9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name val="Helv"/>
      <charset val="204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  <font>
      <b/>
      <sz val="12"/>
      <color rgb="FF00B05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Border="1"/>
    <xf numFmtId="1" fontId="5" fillId="0" borderId="1" xfId="0" applyNumberFormat="1" applyFont="1" applyFill="1" applyBorder="1" applyAlignment="1" applyProtection="1">
      <alignment horizontal="right" vertical="center"/>
      <protection locked="0"/>
    </xf>
    <xf numFmtId="1" fontId="5" fillId="0" borderId="2" xfId="0" applyNumberFormat="1" applyFont="1" applyFill="1" applyBorder="1" applyAlignment="1" applyProtection="1">
      <alignment horizontal="right" vertical="center"/>
      <protection locked="0"/>
    </xf>
    <xf numFmtId="1" fontId="5" fillId="0" borderId="3" xfId="0" applyNumberFormat="1" applyFont="1" applyFill="1" applyBorder="1" applyAlignment="1" applyProtection="1">
      <alignment horizontal="right" vertical="center"/>
      <protection locked="0"/>
    </xf>
    <xf numFmtId="164" fontId="5" fillId="0" borderId="4" xfId="0" applyNumberFormat="1" applyFont="1" applyFill="1" applyBorder="1" applyAlignment="1" applyProtection="1">
      <alignment horizontal="right" vertical="center"/>
      <protection locked="0"/>
    </xf>
    <xf numFmtId="164" fontId="5" fillId="0" borderId="5" xfId="0" applyNumberFormat="1" applyFont="1" applyBorder="1" applyAlignment="1" applyProtection="1">
      <alignment vertical="center"/>
      <protection locked="0"/>
    </xf>
    <xf numFmtId="164" fontId="5" fillId="0" borderId="6" xfId="0" applyNumberFormat="1" applyFont="1" applyFill="1" applyBorder="1" applyAlignment="1" applyProtection="1">
      <alignment vertical="center"/>
      <protection locked="0"/>
    </xf>
    <xf numFmtId="164" fontId="5" fillId="0" borderId="7" xfId="0" applyNumberFormat="1" applyFont="1" applyFill="1" applyBorder="1" applyAlignment="1" applyProtection="1">
      <alignment vertical="center"/>
      <protection locked="0"/>
    </xf>
    <xf numFmtId="164" fontId="5" fillId="2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vertical="center"/>
    </xf>
    <xf numFmtId="1" fontId="6" fillId="3" borderId="9" xfId="0" applyNumberFormat="1" applyFont="1" applyFill="1" applyBorder="1" applyAlignment="1">
      <alignment horizontal="right" vertical="center"/>
    </xf>
    <xf numFmtId="164" fontId="6" fillId="3" borderId="10" xfId="0" applyNumberFormat="1" applyFont="1" applyFill="1" applyBorder="1" applyAlignment="1">
      <alignment horizontal="right" vertical="center"/>
    </xf>
    <xf numFmtId="164" fontId="6" fillId="3" borderId="10" xfId="0" applyNumberFormat="1" applyFont="1" applyFill="1" applyBorder="1" applyAlignment="1">
      <alignment vertical="center"/>
    </xf>
    <xf numFmtId="49" fontId="0" fillId="0" borderId="0" xfId="0" applyNumberFormat="1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</xf>
    <xf numFmtId="0" fontId="7" fillId="0" borderId="0" xfId="0" applyFont="1" applyProtection="1"/>
    <xf numFmtId="0" fontId="0" fillId="0" borderId="0" xfId="0" applyProtection="1"/>
    <xf numFmtId="0" fontId="1" fillId="0" borderId="0" xfId="0" applyFont="1" applyAlignment="1" applyProtection="1"/>
    <xf numFmtId="0" fontId="6" fillId="0" borderId="0" xfId="0" applyFont="1" applyAlignment="1" applyProtection="1"/>
    <xf numFmtId="0" fontId="0" fillId="0" borderId="0" xfId="0" applyAlignment="1" applyProtection="1"/>
    <xf numFmtId="0" fontId="0" fillId="0" borderId="0" xfId="0" applyAlignment="1"/>
    <xf numFmtId="0" fontId="1" fillId="0" borderId="11" xfId="0" applyFont="1" applyBorder="1" applyAlignment="1"/>
    <xf numFmtId="0" fontId="2" fillId="0" borderId="11" xfId="0" applyFont="1" applyBorder="1" applyAlignment="1"/>
    <xf numFmtId="0" fontId="3" fillId="0" borderId="0" xfId="0" applyFont="1" applyBorder="1" applyAlignment="1"/>
    <xf numFmtId="0" fontId="11" fillId="0" borderId="12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13" fillId="0" borderId="13" xfId="0" applyFont="1" applyFill="1" applyBorder="1" applyAlignment="1">
      <alignment horizontal="right" vertical="center"/>
    </xf>
    <xf numFmtId="0" fontId="14" fillId="0" borderId="10" xfId="0" applyNumberFormat="1" applyFont="1" applyFill="1" applyBorder="1" applyAlignment="1">
      <alignment horizontal="right"/>
    </xf>
    <xf numFmtId="0" fontId="3" fillId="0" borderId="11" xfId="0" applyFont="1" applyFill="1" applyBorder="1" applyAlignment="1">
      <alignment horizontal="right"/>
    </xf>
    <xf numFmtId="1" fontId="2" fillId="0" borderId="14" xfId="0" applyNumberFormat="1" applyFont="1" applyFill="1" applyBorder="1" applyAlignment="1">
      <alignment horizontal="right"/>
    </xf>
    <xf numFmtId="164" fontId="6" fillId="3" borderId="14" xfId="0" applyNumberFormat="1" applyFont="1" applyFill="1" applyBorder="1" applyAlignment="1">
      <alignment vertical="center"/>
    </xf>
    <xf numFmtId="0" fontId="8" fillId="0" borderId="15" xfId="0" applyFont="1" applyFill="1" applyBorder="1" applyAlignment="1">
      <alignment horizontal="right" vertical="center"/>
    </xf>
    <xf numFmtId="164" fontId="6" fillId="0" borderId="6" xfId="0" applyNumberFormat="1" applyFont="1" applyFill="1" applyBorder="1" applyAlignment="1">
      <alignment vertical="center"/>
    </xf>
    <xf numFmtId="49" fontId="6" fillId="0" borderId="16" xfId="0" applyNumberFormat="1" applyFont="1" applyFill="1" applyBorder="1" applyAlignment="1" applyProtection="1">
      <alignment horizontal="center" vertical="center" wrapText="1"/>
      <protection locked="0"/>
    </xf>
    <xf numFmtId="1" fontId="12" fillId="0" borderId="17" xfId="0" applyNumberFormat="1" applyFont="1" applyFill="1" applyBorder="1" applyAlignment="1">
      <alignment vertical="center"/>
    </xf>
    <xf numFmtId="0" fontId="1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hidden="1"/>
    </xf>
    <xf numFmtId="2" fontId="5" fillId="4" borderId="18" xfId="0" applyNumberFormat="1" applyFont="1" applyFill="1" applyBorder="1" applyAlignment="1" applyProtection="1">
      <alignment horizontal="center" vertical="center"/>
      <protection hidden="1"/>
    </xf>
    <xf numFmtId="2" fontId="5" fillId="0" borderId="18" xfId="0" applyNumberFormat="1" applyFont="1" applyFill="1" applyBorder="1" applyAlignment="1" applyProtection="1">
      <alignment horizontal="center" vertical="center"/>
      <protection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4" fillId="3" borderId="7" xfId="0" applyFont="1" applyFill="1" applyBorder="1" applyAlignment="1" applyProtection="1">
      <alignment horizontal="center" vertical="center"/>
      <protection hidden="1"/>
    </xf>
    <xf numFmtId="2" fontId="5" fillId="2" borderId="19" xfId="0" applyNumberFormat="1" applyFont="1" applyFill="1" applyBorder="1" applyAlignment="1" applyProtection="1">
      <alignment horizontal="center" vertical="center"/>
      <protection hidden="1"/>
    </xf>
    <xf numFmtId="2" fontId="5" fillId="3" borderId="7" xfId="0" applyNumberFormat="1" applyFont="1" applyFill="1" applyBorder="1" applyAlignment="1" applyProtection="1">
      <alignment horizontal="center" vertical="center"/>
      <protection hidden="1"/>
    </xf>
    <xf numFmtId="2" fontId="5" fillId="0" borderId="19" xfId="0" applyNumberFormat="1" applyFont="1" applyFill="1" applyBorder="1" applyAlignment="1" applyProtection="1">
      <alignment horizontal="center" vertical="center"/>
      <protection hidden="1"/>
    </xf>
    <xf numFmtId="2" fontId="5" fillId="0" borderId="7" xfId="0" applyNumberFormat="1" applyFont="1" applyFill="1" applyBorder="1" applyAlignment="1" applyProtection="1">
      <alignment horizontal="center" vertical="center"/>
      <protection hidden="1"/>
    </xf>
    <xf numFmtId="0" fontId="0" fillId="5" borderId="20" xfId="0" applyFill="1" applyBorder="1"/>
    <xf numFmtId="0" fontId="0" fillId="5" borderId="5" xfId="0" applyFill="1" applyBorder="1"/>
    <xf numFmtId="165" fontId="0" fillId="5" borderId="21" xfId="0" applyNumberFormat="1" applyFill="1" applyBorder="1"/>
    <xf numFmtId="0" fontId="4" fillId="6" borderId="22" xfId="0" applyFont="1" applyFill="1" applyBorder="1" applyAlignment="1" applyProtection="1">
      <alignment horizontal="center" vertical="center"/>
      <protection hidden="1"/>
    </xf>
    <xf numFmtId="2" fontId="5" fillId="6" borderId="22" xfId="0" applyNumberFormat="1" applyFont="1" applyFill="1" applyBorder="1" applyAlignment="1" applyProtection="1">
      <alignment horizontal="center" vertical="center"/>
      <protection hidden="1"/>
    </xf>
    <xf numFmtId="0" fontId="6" fillId="6" borderId="23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</xf>
    <xf numFmtId="0" fontId="6" fillId="2" borderId="19" xfId="0" applyFont="1" applyFill="1" applyBorder="1" applyAlignment="1" applyProtection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7" fillId="0" borderId="0" xfId="0" applyFont="1" applyFill="1" applyBorder="1" applyAlignment="1" applyProtection="1">
      <alignment horizontal="center"/>
    </xf>
    <xf numFmtId="0" fontId="0" fillId="0" borderId="0" xfId="0" applyFill="1"/>
    <xf numFmtId="0" fontId="5" fillId="0" borderId="18" xfId="0" applyFont="1" applyBorder="1" applyAlignment="1">
      <alignment vertical="top"/>
    </xf>
    <xf numFmtId="17" fontId="0" fillId="0" borderId="18" xfId="0" applyNumberForma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8" xfId="0" applyBorder="1" applyAlignment="1">
      <alignment horizontal="right" vertical="top"/>
    </xf>
    <xf numFmtId="165" fontId="0" fillId="9" borderId="18" xfId="0" applyNumberFormat="1" applyFill="1" applyBorder="1" applyAlignment="1">
      <alignment vertical="top"/>
    </xf>
    <xf numFmtId="2" fontId="0" fillId="0" borderId="0" xfId="0" applyNumberFormat="1"/>
    <xf numFmtId="0" fontId="5" fillId="9" borderId="18" xfId="0" applyFont="1" applyFill="1" applyBorder="1" applyAlignment="1">
      <alignment vertical="top"/>
    </xf>
    <xf numFmtId="0" fontId="16" fillId="7" borderId="30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5" fillId="0" borderId="29" xfId="0" applyFont="1" applyFill="1" applyBorder="1" applyAlignment="1" applyProtection="1">
      <alignment vertical="center" wrapText="1"/>
      <protection locked="0"/>
    </xf>
    <xf numFmtId="0" fontId="5" fillId="0" borderId="25" xfId="0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5" fillId="3" borderId="42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16" fillId="7" borderId="30" xfId="0" applyFont="1" applyFill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/>
    </xf>
    <xf numFmtId="0" fontId="16" fillId="7" borderId="31" xfId="0" applyFont="1" applyFill="1" applyBorder="1" applyAlignment="1">
      <alignment horizontal="left" vertical="center"/>
    </xf>
    <xf numFmtId="0" fontId="16" fillId="7" borderId="12" xfId="0" applyFont="1" applyFill="1" applyBorder="1" applyAlignment="1">
      <alignment horizontal="left" vertical="center"/>
    </xf>
    <xf numFmtId="0" fontId="16" fillId="7" borderId="11" xfId="0" applyFont="1" applyFill="1" applyBorder="1" applyAlignment="1">
      <alignment horizontal="left" vertical="center"/>
    </xf>
    <xf numFmtId="0" fontId="16" fillId="7" borderId="32" xfId="0" applyFont="1" applyFill="1" applyBorder="1" applyAlignment="1">
      <alignment horizontal="left" vertical="center"/>
    </xf>
    <xf numFmtId="0" fontId="5" fillId="0" borderId="33" xfId="0" applyFont="1" applyFill="1" applyBorder="1" applyAlignment="1" applyProtection="1">
      <alignment vertical="center" wrapText="1"/>
      <protection locked="0"/>
    </xf>
    <xf numFmtId="0" fontId="5" fillId="0" borderId="15" xfId="0" applyFont="1" applyFill="1" applyBorder="1" applyAlignment="1" applyProtection="1">
      <alignment vertical="center" wrapText="1"/>
      <protection locked="0"/>
    </xf>
    <xf numFmtId="0" fontId="5" fillId="2" borderId="29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top"/>
    </xf>
    <xf numFmtId="0" fontId="5" fillId="2" borderId="35" xfId="0" applyFont="1" applyFill="1" applyBorder="1" applyAlignment="1">
      <alignment horizontal="left" vertical="top"/>
    </xf>
    <xf numFmtId="0" fontId="5" fillId="2" borderId="36" xfId="0" applyFont="1" applyFill="1" applyBorder="1" applyAlignment="1">
      <alignment horizontal="left" vertical="top"/>
    </xf>
    <xf numFmtId="0" fontId="5" fillId="2" borderId="33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/>
    </xf>
    <xf numFmtId="0" fontId="16" fillId="7" borderId="40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/>
    </xf>
    <xf numFmtId="0" fontId="5" fillId="0" borderId="45" xfId="0" applyFont="1" applyFill="1" applyBorder="1" applyAlignment="1" applyProtection="1">
      <alignment horizontal="left" vertical="center"/>
      <protection locked="0"/>
    </xf>
    <xf numFmtId="0" fontId="5" fillId="0" borderId="46" xfId="0" applyFont="1" applyFill="1" applyBorder="1" applyAlignment="1" applyProtection="1">
      <alignment horizontal="left" vertical="center"/>
      <protection locked="0"/>
    </xf>
    <xf numFmtId="0" fontId="17" fillId="10" borderId="24" xfId="0" applyFont="1" applyFill="1" applyBorder="1" applyAlignment="1" applyProtection="1">
      <alignment horizontal="center"/>
    </xf>
    <xf numFmtId="0" fontId="17" fillId="10" borderId="25" xfId="0" applyFont="1" applyFill="1" applyBorder="1" applyAlignment="1" applyProtection="1">
      <alignment horizontal="center"/>
    </xf>
    <xf numFmtId="0" fontId="17" fillId="10" borderId="1" xfId="0" applyFont="1" applyFill="1" applyBorder="1" applyAlignment="1" applyProtection="1">
      <alignment horizontal="center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39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5" fillId="0" borderId="29" xfId="0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6" fillId="7" borderId="34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/>
    </xf>
    <xf numFmtId="0" fontId="18" fillId="11" borderId="26" xfId="0" applyFont="1" applyFill="1" applyBorder="1" applyAlignment="1" applyProtection="1">
      <alignment horizontal="left" vertical="center"/>
      <protection locked="0"/>
    </xf>
    <xf numFmtId="0" fontId="18" fillId="11" borderId="27" xfId="0" applyFont="1" applyFill="1" applyBorder="1" applyAlignment="1" applyProtection="1">
      <alignment horizontal="left" vertical="center"/>
      <protection locked="0"/>
    </xf>
    <xf numFmtId="0" fontId="18" fillId="11" borderId="28" xfId="0" applyFont="1" applyFill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right" vertical="center"/>
    </xf>
    <xf numFmtId="0" fontId="1" fillId="0" borderId="11" xfId="0" applyFont="1" applyBorder="1" applyAlignment="1" applyProtection="1">
      <alignment horizontal="left"/>
    </xf>
    <xf numFmtId="0" fontId="16" fillId="7" borderId="48" xfId="0" applyFont="1" applyFill="1" applyBorder="1" applyAlignment="1">
      <alignment horizontal="left" vertical="center"/>
    </xf>
    <xf numFmtId="0" fontId="16" fillId="7" borderId="0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0" fillId="0" borderId="25" xfId="0" applyFill="1" applyBorder="1" applyAlignment="1" applyProtection="1">
      <alignment vertical="center" wrapText="1"/>
      <protection locked="0"/>
    </xf>
    <xf numFmtId="0" fontId="16" fillId="7" borderId="4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0" borderId="48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3" borderId="4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" fillId="8" borderId="42" xfId="0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left" vertical="center"/>
    </xf>
    <xf numFmtId="0" fontId="1" fillId="8" borderId="17" xfId="0" applyFont="1" applyFill="1" applyBorder="1" applyAlignment="1">
      <alignment horizontal="left" vertical="center"/>
    </xf>
    <xf numFmtId="0" fontId="10" fillId="0" borderId="11" xfId="0" applyFont="1" applyBorder="1" applyAlignment="1" applyProtection="1">
      <alignment horizontal="left"/>
    </xf>
    <xf numFmtId="0" fontId="9" fillId="0" borderId="25" xfId="0" applyFont="1" applyFill="1" applyBorder="1" applyAlignment="1" applyProtection="1">
      <alignment vertical="center" wrapText="1"/>
      <protection locked="0"/>
    </xf>
    <xf numFmtId="0" fontId="5" fillId="0" borderId="29" xfId="0" applyFont="1" applyFill="1" applyBorder="1" applyAlignment="1" applyProtection="1">
      <alignment horizontal="left" vertical="center" wrapText="1"/>
      <protection locked="0"/>
    </xf>
    <xf numFmtId="0" fontId="5" fillId="0" borderId="25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49" xfId="0" applyFont="1" applyBorder="1" applyAlignment="1" applyProtection="1">
      <alignment horizontal="center"/>
    </xf>
    <xf numFmtId="0" fontId="10" fillId="0" borderId="16" xfId="0" applyFont="1" applyBorder="1" applyAlignment="1" applyProtection="1">
      <alignment horizontal="center"/>
    </xf>
    <xf numFmtId="0" fontId="10" fillId="0" borderId="6" xfId="0" applyFont="1" applyBorder="1" applyAlignment="1" applyProtection="1">
      <alignment horizontal="center"/>
    </xf>
    <xf numFmtId="0" fontId="5" fillId="0" borderId="18" xfId="0" applyFont="1" applyBorder="1" applyAlignment="1">
      <alignment horizontal="left" vertical="top"/>
    </xf>
    <xf numFmtId="0" fontId="5" fillId="0" borderId="18" xfId="0" applyFont="1" applyFill="1" applyBorder="1" applyAlignment="1">
      <alignment horizontal="left" vertical="top"/>
    </xf>
    <xf numFmtId="0" fontId="5" fillId="0" borderId="24" xfId="0" applyFont="1" applyBorder="1" applyAlignment="1" applyProtection="1">
      <alignment horizontal="left" vertical="top"/>
    </xf>
    <xf numFmtId="0" fontId="5" fillId="0" borderId="1" xfId="0" applyFont="1" applyBorder="1" applyAlignment="1" applyProtection="1">
      <alignment horizontal="left" vertical="top"/>
    </xf>
    <xf numFmtId="0" fontId="5" fillId="9" borderId="18" xfId="0" applyFont="1" applyFill="1" applyBorder="1" applyAlignment="1">
      <alignment horizontal="left" vertical="top"/>
    </xf>
  </cellXfs>
  <cellStyles count="1">
    <cellStyle name="Normal" xfId="0" builtinId="0"/>
  </cellStyles>
  <dxfs count="13">
    <dxf>
      <font>
        <b/>
        <i/>
        <color rgb="FFFF993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>
    <pageSetUpPr fitToPage="1"/>
  </sheetPr>
  <dimension ref="A1:O65"/>
  <sheetViews>
    <sheetView showGridLines="0" showZeros="0" tabSelected="1" zoomScaleNormal="100" workbookViewId="0">
      <selection activeCell="B7" sqref="B7:F7"/>
    </sheetView>
  </sheetViews>
  <sheetFormatPr defaultRowHeight="12.75"/>
  <cols>
    <col min="1" max="1" width="16.7109375" customWidth="1"/>
    <col min="2" max="2" width="13.140625" customWidth="1"/>
    <col min="3" max="3" width="23" customWidth="1"/>
    <col min="4" max="5" width="10.7109375" customWidth="1"/>
    <col min="6" max="6" width="13.42578125" customWidth="1"/>
    <col min="7" max="7" width="4.140625" customWidth="1"/>
    <col min="8" max="8" width="2.7109375" customWidth="1"/>
    <col min="9" max="9" width="9.140625" customWidth="1"/>
    <col min="10" max="10" width="2.7109375" customWidth="1"/>
    <col min="11" max="13" width="9.140625" customWidth="1"/>
    <col min="14" max="14" width="2.7109375" customWidth="1"/>
    <col min="15" max="17" width="9.140625" customWidth="1"/>
    <col min="18" max="18" width="2.7109375" customWidth="1"/>
    <col min="19" max="21" width="9.140625" customWidth="1"/>
    <col min="22" max="22" width="2.7109375" customWidth="1"/>
    <col min="23" max="26" width="9.140625" customWidth="1"/>
  </cols>
  <sheetData>
    <row r="1" spans="1:15" ht="20.25">
      <c r="A1" s="96" t="s">
        <v>46</v>
      </c>
      <c r="B1" s="97"/>
      <c r="C1" s="97"/>
      <c r="D1" s="97"/>
      <c r="E1" s="97"/>
      <c r="F1" s="97"/>
      <c r="G1" s="98"/>
    </row>
    <row r="2" spans="1:15" s="59" customFormat="1" ht="8.1" customHeight="1">
      <c r="A2" s="58"/>
      <c r="B2" s="58"/>
      <c r="C2" s="58"/>
      <c r="D2" s="58"/>
      <c r="E2" s="58"/>
      <c r="F2" s="58"/>
      <c r="G2" s="58"/>
    </row>
    <row r="3" spans="1:15" ht="15.75">
      <c r="A3" s="16" t="s">
        <v>20</v>
      </c>
      <c r="B3" s="15" t="s">
        <v>58</v>
      </c>
      <c r="C3" s="113" t="s">
        <v>31</v>
      </c>
      <c r="D3" s="113"/>
      <c r="E3" s="113"/>
      <c r="F3" s="105"/>
      <c r="G3" s="105"/>
      <c r="H3" s="38"/>
      <c r="J3" s="38"/>
      <c r="K3" s="18"/>
      <c r="N3" s="38"/>
      <c r="O3" s="18"/>
    </row>
    <row r="4" spans="1:15" ht="15.75" customHeight="1">
      <c r="A4" s="16" t="s">
        <v>19</v>
      </c>
      <c r="B4" s="102" t="s">
        <v>59</v>
      </c>
      <c r="C4" s="102"/>
      <c r="D4" s="102"/>
      <c r="E4" s="102"/>
      <c r="F4" s="102"/>
      <c r="G4" s="17"/>
      <c r="H4" s="17"/>
    </row>
    <row r="5" spans="1:15" ht="15.75" customHeight="1">
      <c r="A5" s="16" t="s">
        <v>47</v>
      </c>
      <c r="B5" s="102" t="s">
        <v>60</v>
      </c>
      <c r="C5" s="102"/>
      <c r="D5" s="102"/>
      <c r="E5" s="102"/>
      <c r="F5" s="102"/>
      <c r="G5" s="17"/>
      <c r="H5" s="17"/>
    </row>
    <row r="6" spans="1:15" s="18" customFormat="1" ht="8.1" customHeight="1">
      <c r="A6" s="16"/>
      <c r="B6" s="37"/>
      <c r="C6" s="37"/>
      <c r="D6" s="37"/>
      <c r="E6" s="37"/>
      <c r="F6" s="37"/>
      <c r="G6" s="17"/>
      <c r="H6" s="17"/>
    </row>
    <row r="7" spans="1:15" s="22" customFormat="1" ht="15.75" customHeight="1">
      <c r="A7" s="19" t="s">
        <v>48</v>
      </c>
      <c r="B7" s="99" t="s">
        <v>37</v>
      </c>
      <c r="C7" s="100"/>
      <c r="D7" s="100"/>
      <c r="E7" s="100"/>
      <c r="F7" s="101"/>
      <c r="G7" s="20"/>
      <c r="H7" s="21"/>
    </row>
    <row r="8" spans="1:15" ht="15.75" customHeight="1">
      <c r="A8" s="16" t="s">
        <v>38</v>
      </c>
      <c r="B8" s="110" t="s">
        <v>61</v>
      </c>
      <c r="C8" s="111"/>
      <c r="D8" s="111"/>
      <c r="E8" s="111"/>
      <c r="F8" s="112"/>
      <c r="G8" s="17"/>
      <c r="H8" s="17"/>
    </row>
    <row r="9" spans="1:15" s="22" customFormat="1" ht="24.95" customHeight="1" thickBot="1">
      <c r="A9" s="21"/>
      <c r="B9" s="114" t="s">
        <v>14</v>
      </c>
      <c r="C9" s="114"/>
      <c r="D9" s="114"/>
      <c r="E9" s="114"/>
      <c r="F9" s="114"/>
      <c r="G9" s="21"/>
      <c r="H9" s="21"/>
    </row>
    <row r="10" spans="1:15">
      <c r="B10" s="106" t="s">
        <v>9</v>
      </c>
      <c r="C10" s="67" t="s">
        <v>8</v>
      </c>
      <c r="D10" s="68"/>
      <c r="E10" s="108" t="s">
        <v>32</v>
      </c>
      <c r="F10" s="92" t="s">
        <v>33</v>
      </c>
    </row>
    <row r="11" spans="1:15" ht="13.5" thickBot="1">
      <c r="B11" s="107"/>
      <c r="C11" s="69"/>
      <c r="D11" s="70"/>
      <c r="E11" s="109"/>
      <c r="F11" s="93"/>
    </row>
    <row r="12" spans="1:15">
      <c r="B12" s="86">
        <f>IF($E12&gt;0,IF($B$7="DBI / ST","DBI / ST",IF($B$7="End-2-End","End-2-End",IF($B$7="Testing FAT / PPT","Testing",0))),0)</f>
        <v>0</v>
      </c>
      <c r="C12" s="89" t="s">
        <v>2</v>
      </c>
      <c r="D12" s="90"/>
      <c r="E12" s="2"/>
      <c r="F12" s="9">
        <f>IF($E12&gt;0,$E12*'Tariff and variables'!$B8,0)</f>
        <v>0</v>
      </c>
    </row>
    <row r="13" spans="1:15">
      <c r="B13" s="87"/>
      <c r="C13" s="84" t="s">
        <v>3</v>
      </c>
      <c r="D13" s="85"/>
      <c r="E13" s="2"/>
      <c r="F13" s="9">
        <f>IF($E13&gt;0,$E13*'Tariff and variables'!$B9,0)</f>
        <v>0</v>
      </c>
    </row>
    <row r="14" spans="1:15">
      <c r="B14" s="87"/>
      <c r="C14" s="84" t="s">
        <v>26</v>
      </c>
      <c r="D14" s="85"/>
      <c r="E14" s="2"/>
      <c r="F14" s="9">
        <f>IF($E14&gt;0,$E14*'Tariff and variables'!$B10,0)</f>
        <v>0</v>
      </c>
    </row>
    <row r="15" spans="1:15">
      <c r="B15" s="87"/>
      <c r="C15" s="84" t="s">
        <v>27</v>
      </c>
      <c r="D15" s="85"/>
      <c r="E15" s="2"/>
      <c r="F15" s="9">
        <f>IF($E15&gt;0,$E15*'Tariff and variables'!$B11,0)</f>
        <v>0</v>
      </c>
    </row>
    <row r="16" spans="1:15">
      <c r="B16" s="87"/>
      <c r="C16" s="84" t="s">
        <v>4</v>
      </c>
      <c r="D16" s="85"/>
      <c r="E16" s="2"/>
      <c r="F16" s="9">
        <f>IF($E16&gt;0,$E16*'Tariff and variables'!$B12,0)</f>
        <v>0</v>
      </c>
    </row>
    <row r="17" spans="2:6">
      <c r="B17" s="87"/>
      <c r="C17" s="84" t="s">
        <v>5</v>
      </c>
      <c r="D17" s="85"/>
      <c r="E17" s="2"/>
      <c r="F17" s="9">
        <f>IF($E17&gt;0,$E17*'Tariff and variables'!$B13,0)</f>
        <v>0</v>
      </c>
    </row>
    <row r="18" spans="2:6">
      <c r="B18" s="87"/>
      <c r="C18" s="84" t="s">
        <v>28</v>
      </c>
      <c r="D18" s="85"/>
      <c r="E18" s="3"/>
      <c r="F18" s="9">
        <f>IF($E18&gt;0,$E18*'Tariff and variables'!$B14,0)</f>
        <v>0</v>
      </c>
    </row>
    <row r="19" spans="2:6">
      <c r="B19" s="87"/>
      <c r="C19" s="103" t="s">
        <v>18</v>
      </c>
      <c r="D19" s="104"/>
      <c r="E19" s="2"/>
      <c r="F19" s="5"/>
    </row>
    <row r="20" spans="2:6" ht="13.5" thickBot="1">
      <c r="B20" s="88"/>
      <c r="C20" s="94" t="s">
        <v>18</v>
      </c>
      <c r="D20" s="95"/>
      <c r="E20" s="4"/>
      <c r="F20" s="5">
        <f>E20*14.2</f>
        <v>0</v>
      </c>
    </row>
    <row r="21" spans="2:6" ht="13.5" thickBot="1">
      <c r="B21" s="10"/>
      <c r="C21" s="74" t="s">
        <v>10</v>
      </c>
      <c r="D21" s="75"/>
      <c r="E21" s="11">
        <f>SUM(E12:E20)</f>
        <v>0</v>
      </c>
      <c r="F21" s="12">
        <f>SUM($F$12:$F$20)</f>
        <v>0</v>
      </c>
    </row>
    <row r="22" spans="2:6" s="22" customFormat="1" ht="24.95" customHeight="1" thickBot="1">
      <c r="B22" s="91" t="s">
        <v>34</v>
      </c>
      <c r="C22" s="91"/>
      <c r="D22" s="91"/>
      <c r="E22" s="91"/>
      <c r="F22" s="91"/>
    </row>
    <row r="23" spans="2:6">
      <c r="B23" s="76" t="s">
        <v>12</v>
      </c>
      <c r="C23" s="77"/>
      <c r="D23" s="77"/>
      <c r="E23" s="78"/>
      <c r="F23" s="92" t="s">
        <v>33</v>
      </c>
    </row>
    <row r="24" spans="2:6" ht="13.5" thickBot="1">
      <c r="B24" s="79"/>
      <c r="C24" s="80"/>
      <c r="D24" s="80"/>
      <c r="E24" s="81"/>
      <c r="F24" s="93"/>
    </row>
    <row r="25" spans="2:6">
      <c r="B25" s="82"/>
      <c r="C25" s="83"/>
      <c r="D25" s="83"/>
      <c r="E25" s="83"/>
      <c r="F25" s="7"/>
    </row>
    <row r="26" spans="2:6">
      <c r="B26" s="71"/>
      <c r="C26" s="72"/>
      <c r="D26" s="72"/>
      <c r="E26" s="73"/>
      <c r="F26" s="8"/>
    </row>
    <row r="27" spans="2:6">
      <c r="B27" s="71"/>
      <c r="C27" s="120"/>
      <c r="D27" s="120"/>
      <c r="E27" s="120"/>
      <c r="F27" s="8"/>
    </row>
    <row r="28" spans="2:6">
      <c r="B28" s="71"/>
      <c r="C28" s="120"/>
      <c r="D28" s="120"/>
      <c r="E28" s="120"/>
      <c r="F28" s="8"/>
    </row>
    <row r="29" spans="2:6">
      <c r="B29" s="71"/>
      <c r="C29" s="120"/>
      <c r="D29" s="120"/>
      <c r="E29" s="120"/>
      <c r="F29" s="8"/>
    </row>
    <row r="30" spans="2:6">
      <c r="B30" s="71"/>
      <c r="C30" s="72"/>
      <c r="D30" s="72"/>
      <c r="E30" s="72"/>
      <c r="F30" s="8"/>
    </row>
    <row r="31" spans="2:6">
      <c r="B31" s="71"/>
      <c r="C31" s="72"/>
      <c r="D31" s="72"/>
      <c r="E31" s="72"/>
      <c r="F31" s="8"/>
    </row>
    <row r="32" spans="2:6" ht="13.5" thickBot="1">
      <c r="B32" s="124"/>
      <c r="C32" s="125"/>
      <c r="D32" s="125"/>
      <c r="E32" s="125"/>
      <c r="F32" s="6"/>
    </row>
    <row r="33" spans="2:8" ht="13.5" thickBot="1">
      <c r="B33" s="126" t="s">
        <v>11</v>
      </c>
      <c r="C33" s="127"/>
      <c r="D33" s="127"/>
      <c r="E33" s="127"/>
      <c r="F33" s="13">
        <f>SUM($F$25:$F$32)</f>
        <v>0</v>
      </c>
    </row>
    <row r="34" spans="2:8" s="22" customFormat="1" ht="24.95" customHeight="1" thickBot="1">
      <c r="B34" s="23" t="s">
        <v>17</v>
      </c>
      <c r="C34" s="24"/>
      <c r="D34" s="24"/>
      <c r="E34" s="24"/>
      <c r="F34" s="25"/>
    </row>
    <row r="35" spans="2:8" ht="13.5" thickBot="1">
      <c r="B35" s="126" t="s">
        <v>13</v>
      </c>
      <c r="C35" s="127"/>
      <c r="D35" s="127"/>
      <c r="E35" s="127"/>
      <c r="F35" s="13">
        <f>$F$21+$F$33</f>
        <v>0</v>
      </c>
    </row>
    <row r="36" spans="2:8" s="22" customFormat="1" ht="24.95" customHeight="1" thickBot="1">
      <c r="B36" s="91" t="s">
        <v>15</v>
      </c>
      <c r="C36" s="91"/>
      <c r="D36" s="91"/>
      <c r="E36" s="91"/>
      <c r="F36" s="91"/>
    </row>
    <row r="37" spans="2:8">
      <c r="B37" s="76" t="s">
        <v>6</v>
      </c>
      <c r="C37" s="77"/>
      <c r="D37" s="77"/>
      <c r="E37" s="78"/>
      <c r="F37" s="92" t="s">
        <v>33</v>
      </c>
    </row>
    <row r="38" spans="2:8" ht="13.5" thickBot="1">
      <c r="B38" s="115"/>
      <c r="C38" s="116"/>
      <c r="D38" s="116"/>
      <c r="E38" s="117"/>
      <c r="F38" s="121"/>
    </row>
    <row r="39" spans="2:8">
      <c r="B39" s="118" t="e">
        <f>IF('Tariff and variables'!$E$17=28.8%,"28,8% of Effort WBS",IF('Tariff and variables'!$E$17=29.1%,"29,1% of Effort WBS",IF('Tariff and variables'!$E$17=29.4%,"29,4% of Effort WBS","30% of Effort WBS")))</f>
        <v>#N/A</v>
      </c>
      <c r="C39" s="119"/>
      <c r="D39" s="33" t="s">
        <v>36</v>
      </c>
      <c r="E39" s="35" t="s">
        <v>40</v>
      </c>
      <c r="F39" s="34" t="e">
        <f>IF($E$39="Y",IF($B$7="End-2-End",F33*'Tariff and variables'!E17,0),0)</f>
        <v>#N/A</v>
      </c>
    </row>
    <row r="40" spans="2:8" ht="13.5" customHeight="1" thickBot="1">
      <c r="B40" s="122" t="s">
        <v>35</v>
      </c>
      <c r="C40" s="123"/>
      <c r="D40" s="123"/>
      <c r="E40" s="123"/>
      <c r="F40" s="32" t="e">
        <f>SUM(F39:F39)</f>
        <v>#N/A</v>
      </c>
      <c r="G40" s="14"/>
      <c r="H40" s="14"/>
    </row>
    <row r="41" spans="2:8" s="22" customFormat="1" ht="24.95" customHeight="1" thickBot="1">
      <c r="B41" s="91" t="s">
        <v>22</v>
      </c>
      <c r="C41" s="91"/>
      <c r="D41" s="91"/>
      <c r="E41" s="91"/>
      <c r="F41" s="91"/>
    </row>
    <row r="42" spans="2:8">
      <c r="B42" s="76" t="s">
        <v>12</v>
      </c>
      <c r="C42" s="77"/>
      <c r="D42" s="77"/>
      <c r="E42" s="78"/>
      <c r="F42" s="92" t="s">
        <v>33</v>
      </c>
    </row>
    <row r="43" spans="2:8" ht="13.5" thickBot="1">
      <c r="B43" s="79"/>
      <c r="C43" s="80"/>
      <c r="D43" s="80"/>
      <c r="E43" s="81"/>
      <c r="F43" s="93"/>
    </row>
    <row r="44" spans="2:8">
      <c r="B44" s="82"/>
      <c r="C44" s="83"/>
      <c r="D44" s="83"/>
      <c r="E44" s="83"/>
      <c r="F44" s="7"/>
    </row>
    <row r="45" spans="2:8">
      <c r="B45" s="71"/>
      <c r="C45" s="132"/>
      <c r="D45" s="132"/>
      <c r="E45" s="132"/>
      <c r="F45" s="8"/>
    </row>
    <row r="46" spans="2:8">
      <c r="B46" s="133"/>
      <c r="C46" s="134"/>
      <c r="D46" s="134"/>
      <c r="E46" s="135"/>
      <c r="F46" s="8"/>
    </row>
    <row r="47" spans="2:8">
      <c r="B47" s="133"/>
      <c r="C47" s="134"/>
      <c r="D47" s="134"/>
      <c r="E47" s="135"/>
      <c r="F47" s="8"/>
    </row>
    <row r="48" spans="2:8" ht="13.5" thickBot="1">
      <c r="B48" s="71"/>
      <c r="C48" s="132"/>
      <c r="D48" s="132"/>
      <c r="E48" s="132"/>
      <c r="F48" s="8"/>
    </row>
    <row r="49" spans="2:14" ht="13.5" thickBot="1">
      <c r="B49" s="126" t="s">
        <v>21</v>
      </c>
      <c r="C49" s="127"/>
      <c r="D49" s="127"/>
      <c r="E49" s="127"/>
      <c r="F49" s="13">
        <f>SUM(F44:F48)</f>
        <v>0</v>
      </c>
    </row>
    <row r="50" spans="2:14" ht="24.95" customHeight="1" thickBot="1">
      <c r="B50" s="131" t="s">
        <v>16</v>
      </c>
      <c r="C50" s="131"/>
      <c r="D50" s="131"/>
      <c r="E50" s="131"/>
      <c r="F50" s="131"/>
    </row>
    <row r="51" spans="2:14" ht="18.75" thickBot="1">
      <c r="B51" s="128" t="s">
        <v>23</v>
      </c>
      <c r="C51" s="129"/>
      <c r="D51" s="129"/>
      <c r="E51" s="130"/>
      <c r="F51" s="36" t="e">
        <f>ROUND(F35+F40+F49,0)</f>
        <v>#N/A</v>
      </c>
      <c r="G51" s="1"/>
      <c r="H51" s="1"/>
    </row>
    <row r="52" spans="2:14" ht="14.25" customHeight="1" thickBot="1">
      <c r="B52" s="26"/>
      <c r="C52" s="27"/>
      <c r="D52" s="27"/>
      <c r="E52" s="28" t="s">
        <v>24</v>
      </c>
      <c r="F52" s="29" t="str">
        <f>IF(F49&gt;0,ROUND(100*F49/(F35+F40+F49),0),"0")</f>
        <v>0</v>
      </c>
    </row>
    <row r="53" spans="2:14" ht="14.25" customHeight="1" thickBot="1">
      <c r="B53" s="26"/>
      <c r="C53" s="27"/>
      <c r="D53" s="27"/>
      <c r="E53" s="30" t="s">
        <v>25</v>
      </c>
      <c r="F53" s="31" t="str">
        <f>IF(F21&gt;0,ROUND(100*(F21+(F21/F35)*F40)/(F35+F40+F49),"0"),"0")</f>
        <v>0</v>
      </c>
    </row>
    <row r="61" spans="2:14" s="22" customFormat="1" ht="15.75" customHeight="1">
      <c r="B61"/>
      <c r="C61"/>
      <c r="D61"/>
      <c r="E61"/>
      <c r="F61"/>
      <c r="J61"/>
      <c r="K61"/>
      <c r="L61"/>
      <c r="M61"/>
      <c r="N61"/>
    </row>
    <row r="65" ht="12" customHeight="1"/>
  </sheetData>
  <sheetProtection password="885B" sheet="1" objects="1" scenarios="1" formatCells="0" selectLockedCells="1"/>
  <dataConsolidate/>
  <mergeCells count="52">
    <mergeCell ref="B51:E51"/>
    <mergeCell ref="B49:E49"/>
    <mergeCell ref="B50:F50"/>
    <mergeCell ref="F42:F43"/>
    <mergeCell ref="B48:E48"/>
    <mergeCell ref="B47:E47"/>
    <mergeCell ref="B42:E43"/>
    <mergeCell ref="B46:E46"/>
    <mergeCell ref="B45:E45"/>
    <mergeCell ref="B44:E44"/>
    <mergeCell ref="B37:E38"/>
    <mergeCell ref="B39:C39"/>
    <mergeCell ref="B41:F41"/>
    <mergeCell ref="B36:F36"/>
    <mergeCell ref="B27:E27"/>
    <mergeCell ref="B28:E28"/>
    <mergeCell ref="F37:F38"/>
    <mergeCell ref="B40:E40"/>
    <mergeCell ref="B32:E32"/>
    <mergeCell ref="B33:E33"/>
    <mergeCell ref="B30:E30"/>
    <mergeCell ref="B31:E31"/>
    <mergeCell ref="B29:E29"/>
    <mergeCell ref="B35:E35"/>
    <mergeCell ref="A1:G1"/>
    <mergeCell ref="B7:F7"/>
    <mergeCell ref="B5:F5"/>
    <mergeCell ref="C18:D18"/>
    <mergeCell ref="C19:D19"/>
    <mergeCell ref="F3:G3"/>
    <mergeCell ref="C13:D13"/>
    <mergeCell ref="B10:B11"/>
    <mergeCell ref="E10:E11"/>
    <mergeCell ref="F10:F11"/>
    <mergeCell ref="B8:F8"/>
    <mergeCell ref="C3:E3"/>
    <mergeCell ref="B9:F9"/>
    <mergeCell ref="C15:D15"/>
    <mergeCell ref="B4:F4"/>
    <mergeCell ref="C14:D14"/>
    <mergeCell ref="C10:D11"/>
    <mergeCell ref="B26:E26"/>
    <mergeCell ref="C21:D21"/>
    <mergeCell ref="B23:E24"/>
    <mergeCell ref="B25:E25"/>
    <mergeCell ref="C16:D16"/>
    <mergeCell ref="C17:D17"/>
    <mergeCell ref="B12:B20"/>
    <mergeCell ref="C12:D12"/>
    <mergeCell ref="B22:F22"/>
    <mergeCell ref="F23:F24"/>
    <mergeCell ref="C20:D20"/>
  </mergeCells>
  <phoneticPr fontId="0" type="noConversion"/>
  <conditionalFormatting sqref="B42:F43 B23:F24 B37:F38 B10:F11">
    <cfRule type="expression" dxfId="12" priority="8" stopIfTrue="1">
      <formula>$B$7="DBI / ST"</formula>
    </cfRule>
    <cfRule type="expression" dxfId="11" priority="9" stopIfTrue="1">
      <formula>$B$7="End-2-End"</formula>
    </cfRule>
    <cfRule type="expression" dxfId="10" priority="10" stopIfTrue="1">
      <formula>$B$7="Testing FAT / PPT"</formula>
    </cfRule>
  </conditionalFormatting>
  <conditionalFormatting sqref="E39">
    <cfRule type="cellIs" priority="11" stopIfTrue="1" operator="equal">
      <formula>"N"</formula>
    </cfRule>
    <cfRule type="expression" dxfId="9" priority="12" stopIfTrue="1">
      <formula>$B$7="Testing FAT / PPT"</formula>
    </cfRule>
    <cfRule type="expression" dxfId="8" priority="13" stopIfTrue="1">
      <formula>$B$7="DBI / ST"</formula>
    </cfRule>
  </conditionalFormatting>
  <conditionalFormatting sqref="B12:B20 C12:D18 F12:F18">
    <cfRule type="expression" dxfId="7" priority="14" stopIfTrue="1">
      <formula>$B$7="DBI / ST"</formula>
    </cfRule>
    <cfRule type="expression" dxfId="6" priority="15" stopIfTrue="1">
      <formula>$B$7="End-2-End"</formula>
    </cfRule>
    <cfRule type="expression" dxfId="5" priority="16" stopIfTrue="1">
      <formula>$B$7="Testing FAT / PPT"</formula>
    </cfRule>
  </conditionalFormatting>
  <conditionalFormatting sqref="C3:E3">
    <cfRule type="expression" dxfId="4" priority="17" stopIfTrue="1">
      <formula>$F$3=""</formula>
    </cfRule>
  </conditionalFormatting>
  <conditionalFormatting sqref="B3">
    <cfRule type="expression" dxfId="3" priority="7" stopIfTrue="1">
      <formula>B3="XX9999"</formula>
    </cfRule>
  </conditionalFormatting>
  <conditionalFormatting sqref="B4:F4">
    <cfRule type="expression" dxfId="2" priority="6" stopIfTrue="1">
      <formula>B4="(sub-)Projectname"</formula>
    </cfRule>
  </conditionalFormatting>
  <conditionalFormatting sqref="B5:F5">
    <cfRule type="expression" dxfId="1" priority="5" stopIfTrue="1">
      <formula>B5="PM name"</formula>
    </cfRule>
  </conditionalFormatting>
  <conditionalFormatting sqref="B8:F8">
    <cfRule type="expression" dxfId="0" priority="1" stopIfTrue="1">
      <formula>$B$6="&lt;mandatory&gt;"</formula>
    </cfRule>
  </conditionalFormatting>
  <dataValidations count="4">
    <dataValidation type="list" allowBlank="1" showInputMessage="1" showErrorMessage="1" sqref="E39">
      <formula1>"N,Y"</formula1>
    </dataValidation>
    <dataValidation type="list" allowBlank="1" showInputMessage="1" showErrorMessage="1" sqref="B7">
      <formula1>"DBI / ST,End-2-End,Testing FAT / PPT"</formula1>
    </dataValidation>
    <dataValidation type="list" allowBlank="1" showInputMessage="1" showErrorMessage="1" sqref="F3">
      <formula1>"Martin van Dijk,Nico Mak, Willem Naber, Stefan Simenon, Project Manager"</formula1>
    </dataValidation>
    <dataValidation type="list" allowBlank="1" showInputMessage="1" showErrorMessage="1" sqref="B8:F8">
      <formula1>SubDomains</formula1>
    </dataValidation>
  </dataValidations>
  <pageMargins left="0.47244094488188981" right="0.70866141732283472" top="0.31496062992125984" bottom="0.70866141732283472" header="0.19685039370078741" footer="0.19685039370078741"/>
  <pageSetup paperSize="9" orientation="portrait" r:id="rId1"/>
  <headerFooter alignWithMargins="0">
    <oddFooter xml:space="preserve">&amp;LTariffs 2015
&amp;7Template version date: 11-11-2015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41"/>
  <sheetViews>
    <sheetView showGridLines="0" workbookViewId="0">
      <selection activeCell="F2" sqref="F2"/>
    </sheetView>
  </sheetViews>
  <sheetFormatPr defaultRowHeight="12.75"/>
  <cols>
    <col min="1" max="1" width="1.140625" customWidth="1"/>
    <col min="3" max="3" width="1.7109375" customWidth="1"/>
    <col min="7" max="7" width="1.7109375" customWidth="1"/>
    <col min="11" max="11" width="1.7109375" customWidth="1"/>
    <col min="15" max="15" width="1.7109375" customWidth="1"/>
    <col min="19" max="19" width="1.7109375" customWidth="1"/>
    <col min="23" max="23" width="1.7109375" customWidth="1"/>
    <col min="28" max="29" width="9.140625" customWidth="1"/>
  </cols>
  <sheetData>
    <row r="2" spans="2:26" ht="15">
      <c r="C2" s="17"/>
      <c r="D2" s="141" t="s">
        <v>56</v>
      </c>
      <c r="E2" s="142"/>
      <c r="F2" s="64">
        <v>0.25</v>
      </c>
      <c r="G2" s="17"/>
      <c r="H2" s="18"/>
    </row>
    <row r="3" spans="2:26" ht="13.5" thickBot="1">
      <c r="B3" s="22"/>
      <c r="C3" s="22"/>
      <c r="D3" s="20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2:26" ht="18.75" thickBot="1">
      <c r="B4" s="17"/>
      <c r="C4" s="17"/>
      <c r="D4" s="136" t="e">
        <f>LOOKUP('WO Estimation Infosys'!B8,SubDomains,J21:J40)</f>
        <v>#N/A</v>
      </c>
      <c r="E4" s="137"/>
      <c r="F4" s="138"/>
      <c r="G4" s="17"/>
      <c r="H4" s="136" t="s">
        <v>51</v>
      </c>
      <c r="I4" s="137"/>
      <c r="J4" s="138"/>
      <c r="L4" s="136" t="s">
        <v>52</v>
      </c>
      <c r="M4" s="137"/>
      <c r="N4" s="138"/>
      <c r="P4" s="136" t="s">
        <v>53</v>
      </c>
      <c r="Q4" s="137"/>
      <c r="R4" s="138"/>
      <c r="T4" s="136" t="s">
        <v>62</v>
      </c>
      <c r="U4" s="137"/>
      <c r="V4" s="138"/>
      <c r="X4" s="136" t="s">
        <v>77</v>
      </c>
      <c r="Y4" s="137"/>
      <c r="Z4" s="138"/>
    </row>
    <row r="5" spans="2:26">
      <c r="B5" s="53" t="s">
        <v>39</v>
      </c>
      <c r="C5" s="54"/>
      <c r="D5" s="55" t="s">
        <v>0</v>
      </c>
      <c r="E5" s="56" t="s">
        <v>29</v>
      </c>
      <c r="F5" s="57" t="s">
        <v>30</v>
      </c>
      <c r="G5" s="54"/>
      <c r="H5" s="55" t="s">
        <v>0</v>
      </c>
      <c r="I5" s="56" t="s">
        <v>29</v>
      </c>
      <c r="J5" s="57" t="s">
        <v>30</v>
      </c>
      <c r="K5" s="22"/>
      <c r="L5" s="55" t="s">
        <v>0</v>
      </c>
      <c r="M5" s="56" t="s">
        <v>29</v>
      </c>
      <c r="N5" s="57" t="s">
        <v>30</v>
      </c>
      <c r="O5" s="22"/>
      <c r="P5" s="55" t="s">
        <v>0</v>
      </c>
      <c r="Q5" s="56" t="s">
        <v>29</v>
      </c>
      <c r="R5" s="57" t="s">
        <v>30</v>
      </c>
      <c r="S5" s="22"/>
      <c r="T5" s="55" t="s">
        <v>0</v>
      </c>
      <c r="U5" s="56" t="s">
        <v>29</v>
      </c>
      <c r="V5" s="57" t="s">
        <v>30</v>
      </c>
      <c r="W5" s="22"/>
      <c r="X5" s="55" t="s">
        <v>0</v>
      </c>
      <c r="Y5" s="56" t="s">
        <v>29</v>
      </c>
      <c r="Z5" s="57" t="s">
        <v>30</v>
      </c>
    </row>
    <row r="6" spans="2:26">
      <c r="B6" s="51" t="s">
        <v>6</v>
      </c>
      <c r="D6" s="42" t="s">
        <v>6</v>
      </c>
      <c r="E6" s="39" t="s">
        <v>6</v>
      </c>
      <c r="F6" s="43" t="s">
        <v>6</v>
      </c>
      <c r="H6" s="42" t="s">
        <v>6</v>
      </c>
      <c r="I6" s="39" t="s">
        <v>6</v>
      </c>
      <c r="J6" s="43" t="s">
        <v>6</v>
      </c>
      <c r="L6" s="42" t="s">
        <v>6</v>
      </c>
      <c r="M6" s="39" t="s">
        <v>6</v>
      </c>
      <c r="N6" s="43" t="s">
        <v>6</v>
      </c>
      <c r="P6" s="42" t="s">
        <v>6</v>
      </c>
      <c r="Q6" s="39" t="s">
        <v>6</v>
      </c>
      <c r="R6" s="43" t="s">
        <v>6</v>
      </c>
      <c r="T6" s="42" t="s">
        <v>6</v>
      </c>
      <c r="U6" s="39" t="s">
        <v>6</v>
      </c>
      <c r="V6" s="43" t="s">
        <v>6</v>
      </c>
      <c r="X6" s="42" t="s">
        <v>6</v>
      </c>
      <c r="Y6" s="39" t="s">
        <v>6</v>
      </c>
      <c r="Z6" s="43" t="s">
        <v>6</v>
      </c>
    </row>
    <row r="7" spans="2:26">
      <c r="B7" s="51" t="s">
        <v>7</v>
      </c>
      <c r="D7" s="42" t="s">
        <v>7</v>
      </c>
      <c r="E7" s="39" t="s">
        <v>7</v>
      </c>
      <c r="F7" s="43" t="s">
        <v>7</v>
      </c>
      <c r="H7" s="42" t="s">
        <v>7</v>
      </c>
      <c r="I7" s="39" t="s">
        <v>7</v>
      </c>
      <c r="J7" s="43" t="s">
        <v>7</v>
      </c>
      <c r="L7" s="42" t="s">
        <v>7</v>
      </c>
      <c r="M7" s="39" t="s">
        <v>7</v>
      </c>
      <c r="N7" s="43" t="s">
        <v>7</v>
      </c>
      <c r="P7" s="42" t="s">
        <v>7</v>
      </c>
      <c r="Q7" s="39" t="s">
        <v>7</v>
      </c>
      <c r="R7" s="43" t="s">
        <v>7</v>
      </c>
      <c r="T7" s="42" t="s">
        <v>7</v>
      </c>
      <c r="U7" s="39" t="s">
        <v>7</v>
      </c>
      <c r="V7" s="43" t="s">
        <v>7</v>
      </c>
      <c r="X7" s="42" t="s">
        <v>7</v>
      </c>
      <c r="Y7" s="39" t="s">
        <v>7</v>
      </c>
      <c r="Z7" s="43" t="s">
        <v>7</v>
      </c>
    </row>
    <row r="8" spans="2:26">
      <c r="B8" s="52" t="e">
        <f>IF('WO Estimation Infosys'!$B$7="DBI / ST",$D8,IF('WO Estimation Infosys'!$B$7="End-2-End",$F8,IF('WO Estimation Infosys'!$B$7="Testing FAT / PPT",$E8,0)))</f>
        <v>#N/A</v>
      </c>
      <c r="D8" s="44" t="e">
        <f>IF($D$4=$H$4,$H8,IF($D$4=$L$4,$L8,IF($D$4=$P$4,$P8,IF($D$4=$T$4,$T8,$H8))))</f>
        <v>#N/A</v>
      </c>
      <c r="E8" s="40" t="e">
        <f>IF($D$4=$H$4,$I8,IF($D$4=$L$4,$M8,IF($D$4=$P$4,$Q8,IF($D$4=$T$4,$U8,$I8))))</f>
        <v>#N/A</v>
      </c>
      <c r="F8" s="45" t="e">
        <f>IF($D$4=$H$4,$J8,IF($D$4=$L$4,$N8,IF($D$4=$P$4,$R8,IF($D$4=$T$4,$V8,$J8))))</f>
        <v>#N/A</v>
      </c>
      <c r="H8" s="44">
        <v>11.16</v>
      </c>
      <c r="I8" s="40">
        <v>2.98</v>
      </c>
      <c r="J8" s="45">
        <v>13.18</v>
      </c>
      <c r="L8" s="44">
        <v>10.83</v>
      </c>
      <c r="M8" s="40">
        <v>2.92</v>
      </c>
      <c r="N8" s="45">
        <v>12.78</v>
      </c>
      <c r="P8" s="44">
        <v>10.61</v>
      </c>
      <c r="Q8" s="40">
        <v>2.89</v>
      </c>
      <c r="R8" s="45">
        <v>12.53</v>
      </c>
      <c r="T8" s="44">
        <v>10.4</v>
      </c>
      <c r="U8" s="40">
        <v>2.86</v>
      </c>
      <c r="V8" s="45">
        <v>12.28</v>
      </c>
      <c r="X8" s="44">
        <v>10.19</v>
      </c>
      <c r="Y8" s="40">
        <v>2.8</v>
      </c>
      <c r="Z8" s="45">
        <v>12.03</v>
      </c>
    </row>
    <row r="9" spans="2:26">
      <c r="B9" s="52" t="e">
        <f>IF('WO Estimation Infosys'!$B$7="DBI / ST",$D9,IF('WO Estimation Infosys'!$B$7="End-2-End",$F9,IF('WO Estimation Infosys'!$B$7="Testing FAT / PPT",$E9,0)))</f>
        <v>#N/A</v>
      </c>
      <c r="D9" s="44" t="e">
        <f t="shared" ref="D9:D14" si="0">IF($D$4=$H$4,$H9,IF($D$4=$L$4,$L9,IF($D$4=$P$4,$P9,IF($D$4=$T$4,$T9,$H9))))</f>
        <v>#N/A</v>
      </c>
      <c r="E9" s="40" t="e">
        <f t="shared" ref="E9:E14" si="1">IF($D$4=$H$4,$I9,IF($D$4=$L$4,$M9,IF($D$4=$P$4,$Q9,IF($D$4=$T$4,$U9,$I9))))</f>
        <v>#N/A</v>
      </c>
      <c r="F9" s="45" t="e">
        <f t="shared" ref="F9:F14" si="2">IF($D$4=$H$4,$J9,IF($D$4=$L$4,$N9,IF($D$4=$P$4,$R9,IF($D$4=$T$4,$V9,$J9))))</f>
        <v>#N/A</v>
      </c>
      <c r="H9" s="44">
        <v>9.86</v>
      </c>
      <c r="I9" s="40">
        <v>2.58</v>
      </c>
      <c r="J9" s="45">
        <v>11.6</v>
      </c>
      <c r="L9" s="44">
        <v>9.56</v>
      </c>
      <c r="M9" s="40">
        <v>2.5299999999999998</v>
      </c>
      <c r="N9" s="45">
        <v>11.25</v>
      </c>
      <c r="P9" s="44">
        <v>9.3699999999999992</v>
      </c>
      <c r="Q9" s="40">
        <v>2.5</v>
      </c>
      <c r="R9" s="45">
        <v>11.03</v>
      </c>
      <c r="T9" s="44">
        <v>9.18</v>
      </c>
      <c r="U9" s="40">
        <v>2.48</v>
      </c>
      <c r="V9" s="45">
        <v>10.81</v>
      </c>
      <c r="X9" s="44">
        <v>9</v>
      </c>
      <c r="Y9" s="40">
        <v>2.4300000000000002</v>
      </c>
      <c r="Z9" s="45">
        <v>10.59</v>
      </c>
    </row>
    <row r="10" spans="2:26">
      <c r="B10" s="52" t="e">
        <f>IF('WO Estimation Infosys'!$B$7="DBI / ST",$D10,IF('WO Estimation Infosys'!$B$7="End-2-End",$F10,IF('WO Estimation Infosys'!$B$7="Testing FAT / PPT",$E10,0)))</f>
        <v>#N/A</v>
      </c>
      <c r="D10" s="44" t="e">
        <f t="shared" si="0"/>
        <v>#N/A</v>
      </c>
      <c r="E10" s="40" t="e">
        <f t="shared" si="1"/>
        <v>#N/A</v>
      </c>
      <c r="F10" s="45" t="e">
        <f t="shared" si="2"/>
        <v>#N/A</v>
      </c>
      <c r="H10" s="44">
        <v>0</v>
      </c>
      <c r="I10" s="40">
        <v>3.8</v>
      </c>
      <c r="J10" s="45">
        <v>0</v>
      </c>
      <c r="L10" s="44">
        <v>0</v>
      </c>
      <c r="M10" s="40">
        <v>3.72</v>
      </c>
      <c r="N10" s="45">
        <v>0</v>
      </c>
      <c r="P10" s="44">
        <v>0</v>
      </c>
      <c r="Q10" s="40">
        <v>3.69</v>
      </c>
      <c r="R10" s="45">
        <v>0</v>
      </c>
      <c r="T10" s="44">
        <v>0</v>
      </c>
      <c r="U10" s="40">
        <v>3.62</v>
      </c>
      <c r="V10" s="45">
        <v>0</v>
      </c>
      <c r="X10" s="44">
        <f t="shared" ref="X10:X11" si="3">T10*0.98</f>
        <v>0</v>
      </c>
      <c r="Y10" s="40">
        <v>3.55</v>
      </c>
      <c r="Z10" s="45">
        <f t="shared" ref="Z10:Z11" si="4">V10*0.98</f>
        <v>0</v>
      </c>
    </row>
    <row r="11" spans="2:26">
      <c r="B11" s="52" t="e">
        <f>IF('WO Estimation Infosys'!$B$7="DBI / ST",$D11,IF('WO Estimation Infosys'!$B$7="End-2-End",$F11,IF('WO Estimation Infosys'!$B$7="Testing FAT / PPT",$E11,0)))</f>
        <v>#N/A</v>
      </c>
      <c r="D11" s="44" t="e">
        <f t="shared" si="0"/>
        <v>#N/A</v>
      </c>
      <c r="E11" s="40" t="e">
        <f t="shared" si="1"/>
        <v>#N/A</v>
      </c>
      <c r="F11" s="45" t="e">
        <f t="shared" si="2"/>
        <v>#N/A</v>
      </c>
      <c r="H11" s="44">
        <v>0</v>
      </c>
      <c r="I11" s="40">
        <v>3.8</v>
      </c>
      <c r="J11" s="45">
        <v>0</v>
      </c>
      <c r="L11" s="44">
        <v>0</v>
      </c>
      <c r="M11" s="40">
        <v>3.72</v>
      </c>
      <c r="N11" s="45">
        <v>0</v>
      </c>
      <c r="P11" s="44">
        <v>0</v>
      </c>
      <c r="Q11" s="40">
        <v>3.69</v>
      </c>
      <c r="R11" s="45">
        <v>0</v>
      </c>
      <c r="T11" s="44">
        <v>0</v>
      </c>
      <c r="U11" s="40">
        <v>3.65</v>
      </c>
      <c r="V11" s="45">
        <v>0</v>
      </c>
      <c r="X11" s="44">
        <f t="shared" si="3"/>
        <v>0</v>
      </c>
      <c r="Y11" s="40">
        <v>3.58</v>
      </c>
      <c r="Z11" s="45">
        <f t="shared" si="4"/>
        <v>0</v>
      </c>
    </row>
    <row r="12" spans="2:26">
      <c r="B12" s="52" t="e">
        <f>IF('WO Estimation Infosys'!$B$7="DBI / ST",$D12,IF('WO Estimation Infosys'!$B$7="End-2-End",$F12,IF('WO Estimation Infosys'!$B$7="Testing FAT / PPT",$E12,0)))</f>
        <v>#N/A</v>
      </c>
      <c r="D12" s="44" t="e">
        <f t="shared" si="0"/>
        <v>#N/A</v>
      </c>
      <c r="E12" s="40" t="e">
        <f t="shared" si="1"/>
        <v>#N/A</v>
      </c>
      <c r="F12" s="45" t="e">
        <f t="shared" si="2"/>
        <v>#N/A</v>
      </c>
      <c r="H12" s="44">
        <v>10.3</v>
      </c>
      <c r="I12" s="40">
        <v>2.98</v>
      </c>
      <c r="J12" s="45">
        <v>12.16</v>
      </c>
      <c r="L12" s="44">
        <v>9.99</v>
      </c>
      <c r="M12" s="40">
        <v>2.92</v>
      </c>
      <c r="N12" s="45">
        <v>11.8</v>
      </c>
      <c r="P12" s="44">
        <v>9.7899999999999991</v>
      </c>
      <c r="Q12" s="40">
        <v>2.89</v>
      </c>
      <c r="R12" s="45">
        <v>11.56</v>
      </c>
      <c r="T12" s="44">
        <v>9.59</v>
      </c>
      <c r="U12" s="40">
        <v>2.86</v>
      </c>
      <c r="V12" s="45">
        <v>11.33</v>
      </c>
      <c r="X12" s="44">
        <v>9.4</v>
      </c>
      <c r="Y12" s="40">
        <v>2.8</v>
      </c>
      <c r="Z12" s="45">
        <v>11.1</v>
      </c>
    </row>
    <row r="13" spans="2:26">
      <c r="B13" s="52" t="e">
        <f>IF('WO Estimation Infosys'!$B$7="DBI / ST",$D13,IF('WO Estimation Infosys'!$B$7="End-2-End",$F13,IF('WO Estimation Infosys'!$B$7="Testing FAT / PPT",$E13,0)))</f>
        <v>#N/A</v>
      </c>
      <c r="D13" s="44" t="e">
        <f t="shared" si="0"/>
        <v>#N/A</v>
      </c>
      <c r="E13" s="40" t="e">
        <f t="shared" si="1"/>
        <v>#N/A</v>
      </c>
      <c r="F13" s="45" t="e">
        <f t="shared" si="2"/>
        <v>#N/A</v>
      </c>
      <c r="H13" s="44">
        <v>16.100000000000001</v>
      </c>
      <c r="I13" s="40">
        <v>5</v>
      </c>
      <c r="J13" s="45">
        <v>18.899999999999999</v>
      </c>
      <c r="L13" s="44">
        <v>15.62</v>
      </c>
      <c r="M13" s="40">
        <v>4.9000000000000004</v>
      </c>
      <c r="N13" s="45">
        <v>18.329999999999998</v>
      </c>
      <c r="P13" s="44">
        <v>15.3</v>
      </c>
      <c r="Q13" s="40">
        <v>4.8499999999999996</v>
      </c>
      <c r="R13" s="45">
        <v>17.97</v>
      </c>
      <c r="T13" s="44">
        <v>14.99</v>
      </c>
      <c r="U13" s="40">
        <v>4.8</v>
      </c>
      <c r="V13" s="45">
        <v>17.61</v>
      </c>
      <c r="X13" s="44">
        <v>14.69</v>
      </c>
      <c r="Y13" s="40">
        <v>4.7</v>
      </c>
      <c r="Z13" s="45">
        <v>17.260000000000002</v>
      </c>
    </row>
    <row r="14" spans="2:26">
      <c r="B14" s="52" t="e">
        <f>IF('WO Estimation Infosys'!$B$7="DBI / ST",$D14,IF('WO Estimation Infosys'!$B$7="End-2-End",$F14,IF('WO Estimation Infosys'!$B$7="Testing FAT / PPT",$E14,0)))</f>
        <v>#N/A</v>
      </c>
      <c r="D14" s="44" t="e">
        <f t="shared" si="0"/>
        <v>#N/A</v>
      </c>
      <c r="E14" s="40" t="e">
        <f t="shared" si="1"/>
        <v>#N/A</v>
      </c>
      <c r="F14" s="45" t="e">
        <f t="shared" si="2"/>
        <v>#N/A</v>
      </c>
      <c r="H14" s="44">
        <v>8.83</v>
      </c>
      <c r="I14" s="40">
        <v>1.99</v>
      </c>
      <c r="J14" s="45">
        <v>10.38</v>
      </c>
      <c r="L14" s="44">
        <v>8.83</v>
      </c>
      <c r="M14" s="40">
        <v>1.99</v>
      </c>
      <c r="N14" s="45">
        <v>10.38</v>
      </c>
      <c r="P14" s="44">
        <v>8.39</v>
      </c>
      <c r="Q14" s="40">
        <v>1.93</v>
      </c>
      <c r="R14" s="45">
        <v>9.8699999999999992</v>
      </c>
      <c r="T14" s="44">
        <v>8.2200000000000006</v>
      </c>
      <c r="U14" s="40">
        <v>1.91</v>
      </c>
      <c r="V14" s="45">
        <v>9.67</v>
      </c>
      <c r="X14" s="44">
        <v>8.06</v>
      </c>
      <c r="Y14" s="40">
        <v>1.87</v>
      </c>
      <c r="Z14" s="45">
        <v>9.48</v>
      </c>
    </row>
    <row r="15" spans="2:26">
      <c r="B15" s="52" t="s">
        <v>1</v>
      </c>
      <c r="D15" s="46" t="s">
        <v>1</v>
      </c>
      <c r="E15" s="41" t="s">
        <v>1</v>
      </c>
      <c r="F15" s="47" t="s">
        <v>1</v>
      </c>
      <c r="H15" s="46" t="s">
        <v>1</v>
      </c>
      <c r="I15" s="41" t="s">
        <v>1</v>
      </c>
      <c r="J15" s="47" t="s">
        <v>1</v>
      </c>
      <c r="L15" s="46" t="s">
        <v>1</v>
      </c>
      <c r="M15" s="41" t="s">
        <v>1</v>
      </c>
      <c r="N15" s="47" t="s">
        <v>1</v>
      </c>
      <c r="P15" s="46" t="s">
        <v>1</v>
      </c>
      <c r="Q15" s="41" t="s">
        <v>1</v>
      </c>
      <c r="R15" s="47" t="s">
        <v>1</v>
      </c>
      <c r="T15" s="46" t="s">
        <v>1</v>
      </c>
      <c r="U15" s="41" t="s">
        <v>1</v>
      </c>
      <c r="V15" s="47" t="s">
        <v>1</v>
      </c>
      <c r="X15" s="46" t="s">
        <v>1</v>
      </c>
      <c r="Y15" s="41" t="s">
        <v>1</v>
      </c>
      <c r="Z15" s="47" t="s">
        <v>1</v>
      </c>
    </row>
    <row r="16" spans="2:26">
      <c r="B16" s="52" t="s">
        <v>1</v>
      </c>
      <c r="D16" s="46" t="s">
        <v>1</v>
      </c>
      <c r="E16" s="41" t="s">
        <v>1</v>
      </c>
      <c r="F16" s="47" t="s">
        <v>1</v>
      </c>
      <c r="H16" s="46" t="s">
        <v>1</v>
      </c>
      <c r="I16" s="41" t="s">
        <v>1</v>
      </c>
      <c r="J16" s="47" t="s">
        <v>1</v>
      </c>
      <c r="L16" s="46" t="s">
        <v>1</v>
      </c>
      <c r="M16" s="41" t="s">
        <v>1</v>
      </c>
      <c r="N16" s="47" t="s">
        <v>1</v>
      </c>
      <c r="P16" s="46" t="s">
        <v>1</v>
      </c>
      <c r="Q16" s="41" t="s">
        <v>1</v>
      </c>
      <c r="R16" s="47" t="s">
        <v>1</v>
      </c>
      <c r="T16" s="46" t="s">
        <v>1</v>
      </c>
      <c r="U16" s="41" t="s">
        <v>1</v>
      </c>
      <c r="V16" s="47" t="s">
        <v>1</v>
      </c>
      <c r="X16" s="46" t="s">
        <v>1</v>
      </c>
      <c r="Y16" s="41" t="s">
        <v>1</v>
      </c>
      <c r="Z16" s="47" t="s">
        <v>1</v>
      </c>
    </row>
    <row r="17" spans="2:26" ht="13.5" thickBot="1">
      <c r="B17" s="52">
        <f>IF('WO Estimation Infosys'!$B$7="DBI / ST",$D17,IF('WO Estimation Infosys'!$B$7="End-2-End",$F17,IF('WO Estimation Infosys'!$B$7="Testing FAT / PPT",$E17,0)))</f>
        <v>0</v>
      </c>
      <c r="D17" s="48"/>
      <c r="E17" s="50" t="e">
        <f>IF($D$4=$H$4,$I17,IF($D$4=$L$4,$M17,IF($D$4=$P$4,$Q17,IF($D$4=$T$4,$U17,$I17))))</f>
        <v>#N/A</v>
      </c>
      <c r="F17" s="49"/>
      <c r="H17" s="48"/>
      <c r="I17" s="50">
        <v>0.3</v>
      </c>
      <c r="J17" s="49"/>
      <c r="L17" s="48"/>
      <c r="M17" s="50">
        <v>0.29399999999999998</v>
      </c>
      <c r="N17" s="49"/>
      <c r="P17" s="48"/>
      <c r="Q17" s="50">
        <v>0.29099999999999998</v>
      </c>
      <c r="R17" s="49"/>
      <c r="T17" s="48"/>
      <c r="U17" s="50">
        <v>0.28799999999999998</v>
      </c>
      <c r="V17" s="49"/>
      <c r="X17" s="48"/>
      <c r="Y17" s="50">
        <v>0.28499999999999998</v>
      </c>
      <c r="Z17" s="49"/>
    </row>
    <row r="18" spans="2:26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2:26">
      <c r="D19" s="22"/>
      <c r="E19" s="22"/>
      <c r="F19" s="22"/>
    </row>
    <row r="20" spans="2:26">
      <c r="D20" s="143" t="s">
        <v>49</v>
      </c>
      <c r="E20" s="143"/>
      <c r="F20" s="143"/>
      <c r="G20" s="143"/>
      <c r="H20" s="143"/>
      <c r="I20" s="66" t="s">
        <v>50</v>
      </c>
      <c r="J20" s="66" t="s">
        <v>54</v>
      </c>
    </row>
    <row r="21" spans="2:26">
      <c r="D21" s="139" t="s">
        <v>63</v>
      </c>
      <c r="E21" s="139"/>
      <c r="F21" s="139"/>
      <c r="G21" s="139"/>
      <c r="H21" s="139"/>
      <c r="I21" s="62"/>
      <c r="J21" s="60" t="s">
        <v>55</v>
      </c>
    </row>
    <row r="22" spans="2:26">
      <c r="D22" s="140" t="s">
        <v>64</v>
      </c>
      <c r="E22" s="140"/>
      <c r="F22" s="140"/>
      <c r="G22" s="140"/>
      <c r="H22" s="140"/>
      <c r="I22" s="62"/>
      <c r="J22" s="60" t="s">
        <v>55</v>
      </c>
    </row>
    <row r="23" spans="2:26">
      <c r="D23" s="139" t="s">
        <v>42</v>
      </c>
      <c r="E23" s="139"/>
      <c r="F23" s="139"/>
      <c r="G23" s="139"/>
      <c r="H23" s="139"/>
      <c r="I23" s="62"/>
      <c r="J23" s="60" t="s">
        <v>55</v>
      </c>
    </row>
    <row r="24" spans="2:26">
      <c r="D24" s="139" t="s">
        <v>65</v>
      </c>
      <c r="E24" s="139"/>
      <c r="F24" s="139"/>
      <c r="G24" s="139"/>
      <c r="H24" s="139"/>
      <c r="I24" s="61">
        <v>40909</v>
      </c>
      <c r="J24" s="60" t="s">
        <v>77</v>
      </c>
    </row>
    <row r="25" spans="2:26">
      <c r="D25" s="139" t="s">
        <v>43</v>
      </c>
      <c r="E25" s="139"/>
      <c r="F25" s="139"/>
      <c r="G25" s="139"/>
      <c r="H25" s="139"/>
      <c r="I25" s="62"/>
      <c r="J25" s="60" t="s">
        <v>55</v>
      </c>
      <c r="L25" s="65"/>
      <c r="M25" s="65"/>
      <c r="N25" s="65"/>
    </row>
    <row r="26" spans="2:26">
      <c r="D26" s="139" t="s">
        <v>57</v>
      </c>
      <c r="E26" s="139"/>
      <c r="F26" s="139"/>
      <c r="G26" s="139"/>
      <c r="H26" s="139"/>
      <c r="I26" s="61">
        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 s="139"/>
      <c r="F27" s="139"/>
      <c r="G27" s="139"/>
      <c r="H27" s="139"/>
      <c r="I27" s="62"/>
      <c r="J27" s="60" t="s">
        <v>55</v>
      </c>
      <c r="L27" s="65"/>
      <c r="M27" s="65"/>
      <c r="N27" s="65"/>
    </row>
    <row r="28" spans="2:26">
      <c r="B28" s="22"/>
      <c r="D28" s="139" t="s">
        <v>67</v>
      </c>
      <c r="E28" s="139"/>
      <c r="F28" s="139"/>
      <c r="G28" s="139"/>
      <c r="H28" s="139"/>
      <c r="I28" s="63" t="s">
        <v>78</v>
      </c>
      <c r="J28" s="60" t="s">
        <v>55</v>
      </c>
      <c r="K28" s="22"/>
      <c r="L28" s="65"/>
      <c r="M28" s="65"/>
      <c r="N28" s="65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2:26">
      <c r="D29" s="139" t="s">
        <v>68</v>
      </c>
      <c r="E29" s="139"/>
      <c r="F29" s="139"/>
      <c r="G29" s="139"/>
      <c r="H29" s="139"/>
      <c r="I29" s="63"/>
      <c r="J29" s="60" t="s">
        <v>55</v>
      </c>
      <c r="L29" s="65"/>
      <c r="M29" s="65"/>
      <c r="N29" s="65"/>
    </row>
    <row r="30" spans="2:26">
      <c r="D30" s="139" t="s">
        <v>69</v>
      </c>
      <c r="E30" s="139"/>
      <c r="F30" s="139"/>
      <c r="G30" s="139"/>
      <c r="H30" s="139"/>
      <c r="I30" s="63"/>
      <c r="J30" s="60" t="s">
        <v>55</v>
      </c>
      <c r="K30" s="22"/>
      <c r="L30" s="65"/>
      <c r="M30" s="65"/>
      <c r="N30" s="65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2:26">
      <c r="D31" s="139" t="s">
        <v>70</v>
      </c>
      <c r="E31" s="139"/>
      <c r="F31" s="139"/>
      <c r="G31" s="139"/>
      <c r="H31" s="139"/>
      <c r="I31" s="63"/>
      <c r="J31" s="60" t="s">
        <v>55</v>
      </c>
      <c r="L31" s="65"/>
      <c r="M31" s="65"/>
      <c r="N31" s="65"/>
    </row>
    <row r="32" spans="2:26">
      <c r="D32" s="139" t="s">
        <v>71</v>
      </c>
      <c r="E32" s="139"/>
      <c r="F32" s="139"/>
      <c r="G32" s="139"/>
      <c r="H32" s="139"/>
      <c r="I32" s="61">
        <v>40848</v>
      </c>
      <c r="J32" s="60" t="s">
        <v>77</v>
      </c>
    </row>
    <row r="33" spans="4:26">
      <c r="D33" s="139" t="s">
        <v>72</v>
      </c>
      <c r="E33" s="139"/>
      <c r="F33" s="139"/>
      <c r="G33" s="139"/>
      <c r="H33" s="139"/>
      <c r="I33" s="61">
        <v>40817</v>
      </c>
      <c r="J33" s="60" t="s">
        <v>77</v>
      </c>
    </row>
    <row r="34" spans="4:26">
      <c r="D34" s="139" t="s">
        <v>73</v>
      </c>
      <c r="E34" s="139"/>
      <c r="F34" s="139"/>
      <c r="G34" s="139"/>
      <c r="H34" s="139"/>
      <c r="I34" s="63"/>
      <c r="J34" s="60" t="s">
        <v>55</v>
      </c>
    </row>
    <row r="35" spans="4:26">
      <c r="D35" s="139" t="s">
        <v>44</v>
      </c>
      <c r="E35" s="139"/>
      <c r="F35" s="139"/>
      <c r="G35" s="139"/>
      <c r="H35" s="139"/>
      <c r="I35" s="63"/>
      <c r="J35" s="60" t="s">
        <v>55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4:26">
      <c r="D36" s="139" t="s">
        <v>74</v>
      </c>
      <c r="E36" s="139"/>
      <c r="F36" s="139"/>
      <c r="G36" s="139"/>
      <c r="H36" s="139"/>
      <c r="I36" s="63"/>
      <c r="J36" s="60" t="s">
        <v>55</v>
      </c>
    </row>
    <row r="37" spans="4:26">
      <c r="D37" s="139" t="s">
        <v>75</v>
      </c>
      <c r="E37" s="139"/>
      <c r="F37" s="139"/>
      <c r="G37" s="139"/>
      <c r="H37" s="139"/>
      <c r="I37" s="63"/>
      <c r="J37" s="60" t="s">
        <v>55</v>
      </c>
    </row>
    <row r="38" spans="4:26">
      <c r="D38" s="139" t="s">
        <v>45</v>
      </c>
      <c r="E38" s="139"/>
      <c r="F38" s="139"/>
      <c r="G38" s="139"/>
      <c r="H38" s="139"/>
      <c r="I38" s="61">
        <v>41000</v>
      </c>
      <c r="J38" s="60" t="s">
        <v>62</v>
      </c>
    </row>
    <row r="39" spans="4:26">
      <c r="D39" s="139" t="s">
        <v>76</v>
      </c>
      <c r="E39" s="139"/>
      <c r="F39" s="139"/>
      <c r="G39" s="139"/>
      <c r="H39" s="139"/>
      <c r="I39" s="63"/>
      <c r="J39" s="60" t="s">
        <v>55</v>
      </c>
    </row>
    <row r="40" spans="4:26">
      <c r="D40" s="139" t="s">
        <v>41</v>
      </c>
      <c r="E40" s="139"/>
      <c r="F40" s="139"/>
      <c r="G40" s="139"/>
      <c r="H40" s="139"/>
      <c r="I40" s="61">
        <v>41122</v>
      </c>
      <c r="J40" s="60" t="s">
        <v>62</v>
      </c>
    </row>
    <row r="41" spans="4:26">
      <c r="D41" s="22"/>
      <c r="E41" s="22"/>
      <c r="F41" s="22"/>
    </row>
  </sheetData>
  <sheetProtection password="885B" sheet="1" objects="1" scenarios="1" selectLockedCells="1"/>
  <mergeCells count="28">
    <mergeCell ref="D20:H20"/>
    <mergeCell ref="L4:N4"/>
    <mergeCell ref="T4:V4"/>
    <mergeCell ref="D2:E2"/>
    <mergeCell ref="H4:J4"/>
    <mergeCell ref="P4:R4"/>
    <mergeCell ref="D40:H40"/>
    <mergeCell ref="D31:H31"/>
    <mergeCell ref="D32:H32"/>
    <mergeCell ref="D33:H33"/>
    <mergeCell ref="D34:H34"/>
    <mergeCell ref="D35:H35"/>
    <mergeCell ref="X4:Z4"/>
    <mergeCell ref="D36:H36"/>
    <mergeCell ref="D37:H37"/>
    <mergeCell ref="D38:H38"/>
    <mergeCell ref="D39:H39"/>
    <mergeCell ref="D26:H26"/>
    <mergeCell ref="D27:H27"/>
    <mergeCell ref="D28:H28"/>
    <mergeCell ref="D29:H29"/>
    <mergeCell ref="D30:H30"/>
    <mergeCell ref="D21:H21"/>
    <mergeCell ref="D22:H22"/>
    <mergeCell ref="D23:H23"/>
    <mergeCell ref="D24:H24"/>
    <mergeCell ref="D25:H25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WO Estimation Infosys</vt:lpstr>
      <vt:lpstr>Tariff and variables</vt:lpstr>
      <vt:lpstr>'WO Estimation Infosys'!Print_Area</vt:lpstr>
      <vt:lpstr>SubDomains</vt:lpstr>
    </vt:vector>
  </TitlesOfParts>
  <Company>ABN AMRO Bank N.V.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XKNM</dc:creator>
  <cp:lastModifiedBy>Naber H</cp:lastModifiedBy>
  <cp:lastPrinted>2014-01-22T08:06:44Z</cp:lastPrinted>
  <dcterms:created xsi:type="dcterms:W3CDTF">2009-01-19T09:30:23Z</dcterms:created>
  <dcterms:modified xsi:type="dcterms:W3CDTF">2015-11-11T09:41:17Z</dcterms:modified>
</cp:coreProperties>
</file>